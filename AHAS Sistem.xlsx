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HAS INU" sheetId="1" r:id="rId5"/>
    <sheet state="visible" name="AHAS Solar bawah" sheetId="2" r:id="rId6"/>
  </sheets>
  <definedNames/>
  <calcPr/>
</workbook>
</file>

<file path=xl/sharedStrings.xml><?xml version="1.0" encoding="utf-8"?>
<sst xmlns="http://schemas.openxmlformats.org/spreadsheetml/2006/main" count="182" uniqueCount="80">
  <si>
    <t>EVALUASI HARGA VENDOR</t>
  </si>
  <si>
    <t>ANALISIS HARGA SATUAN (AHS)</t>
  </si>
  <si>
    <t>Tgl Analisis (RnD)</t>
  </si>
  <si>
    <t>Sumber</t>
  </si>
  <si>
    <t>Pekerjaan / Material             :</t>
  </si>
  <si>
    <t>HSD</t>
  </si>
  <si>
    <t>Marketing</t>
  </si>
  <si>
    <t>Lokasi</t>
  </si>
  <si>
    <t>Customer                              :</t>
  </si>
  <si>
    <t>PT Tonasa</t>
  </si>
  <si>
    <t>Pembayaran</t>
  </si>
  <si>
    <t>30 Hari</t>
  </si>
  <si>
    <t>Dokumen</t>
  </si>
  <si>
    <t>Lokasi                                   :</t>
  </si>
  <si>
    <t>Samarinda</t>
  </si>
  <si>
    <t>Harga Keekonomian</t>
  </si>
  <si>
    <t>Diskon</t>
  </si>
  <si>
    <t>HARGA INCLUDE</t>
  </si>
  <si>
    <t>Uraian</t>
  </si>
  <si>
    <t>PT Jagad</t>
  </si>
  <si>
    <t>AKR</t>
  </si>
  <si>
    <t>PT Petrocon</t>
  </si>
  <si>
    <t>TOTAL PENDAPATAN</t>
  </si>
  <si>
    <t>Harga Dasar</t>
  </si>
  <si>
    <t>Aman 88</t>
  </si>
  <si>
    <t>Katana</t>
  </si>
  <si>
    <t xml:space="preserve">Jangkar </t>
  </si>
  <si>
    <t>HARGA JUAL SETELAH PAJAK</t>
  </si>
  <si>
    <t>PPN</t>
  </si>
  <si>
    <t>HARGA JUAL</t>
  </si>
  <si>
    <t>PBBKB</t>
  </si>
  <si>
    <t>PPH</t>
  </si>
  <si>
    <t>PPN 11%</t>
  </si>
  <si>
    <t>OAT</t>
  </si>
  <si>
    <t>TOTAL BIAYA</t>
  </si>
  <si>
    <t>PPN OAT</t>
  </si>
  <si>
    <t>BIAYA PERLITER</t>
  </si>
  <si>
    <t>BPH</t>
  </si>
  <si>
    <t>HPP</t>
  </si>
  <si>
    <t>Note :</t>
  </si>
  <si>
    <t>PPH INU 0,3%</t>
  </si>
  <si>
    <t>BPH Migas 0,25%</t>
  </si>
  <si>
    <t>PAJAK</t>
  </si>
  <si>
    <t>PPH penjualan BUMN 1,5%</t>
  </si>
  <si>
    <t>Konversi Satuan INU</t>
  </si>
  <si>
    <t>COST OF FUND</t>
  </si>
  <si>
    <t>Investor</t>
  </si>
  <si>
    <t>Bunga Bank</t>
  </si>
  <si>
    <t>Periode 15 - 31 Oktober 2026</t>
  </si>
  <si>
    <t>Diskonto SKBDN 3,3%</t>
  </si>
  <si>
    <t>Lokasi            :</t>
  </si>
  <si>
    <t>OPERASIONAL</t>
  </si>
  <si>
    <t>Biaya Operasional</t>
  </si>
  <si>
    <t>Nama INU     :</t>
  </si>
  <si>
    <t>Bonus Marketing</t>
  </si>
  <si>
    <t>ASET</t>
  </si>
  <si>
    <t>Tangki Solar</t>
  </si>
  <si>
    <t>Harga INU</t>
  </si>
  <si>
    <t>Biaya</t>
  </si>
  <si>
    <t>KOORDINASI</t>
  </si>
  <si>
    <t>Ormas/Lainnya</t>
  </si>
  <si>
    <t>RELASI</t>
  </si>
  <si>
    <t>Biaya Proyek</t>
  </si>
  <si>
    <t xml:space="preserve">Biaya  Mediator </t>
  </si>
  <si>
    <t>RESIKO</t>
  </si>
  <si>
    <t>Biaya Resiko</t>
  </si>
  <si>
    <t>Biaya Keagenan</t>
  </si>
  <si>
    <t>Kenaikan Harga</t>
  </si>
  <si>
    <t>LABA KOTOR</t>
  </si>
  <si>
    <t>SELISIH PPN</t>
  </si>
  <si>
    <t>ALL IN</t>
  </si>
  <si>
    <t>LABA BERSIH</t>
  </si>
  <si>
    <t>LABA BERSIH PERLITER</t>
  </si>
  <si>
    <t>Gross Profit</t>
  </si>
  <si>
    <t>PERSENTASE</t>
  </si>
  <si>
    <t>BPH Migas</t>
  </si>
  <si>
    <t>Notes</t>
  </si>
  <si>
    <t>Net Margin</t>
  </si>
  <si>
    <t>Profit MUE</t>
  </si>
  <si>
    <t>Crosscheck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</si>
</sst>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-421]#,##0"/>
    <numFmt numFmtId="165" formatCode="_-[$Rp-421]* #,##0_-;_-[$Rp-421]* \-#,##0_-;_-[$Rp-421]* &quot;-&quot;??_-;_-@"/>
    <numFmt numFmtId="166" formatCode="dd/mm/yyyy"/>
    <numFmt numFmtId="167" formatCode="0.0"/>
  </numFmts>
  <fonts count="14">
    <font>
      <sz val="10.0"/>
      <color rgb="FF000000"/>
      <name val="Arial"/>
      <scheme val="minor"/>
    </font>
    <font>
      <b/>
      <sz val="14.0"/>
      <color theme="1"/>
      <name val="Times New Roman"/>
    </font>
    <font/>
    <font>
      <color theme="1"/>
      <name val="Arial"/>
    </font>
    <font>
      <b/>
      <sz val="20.0"/>
      <color theme="1"/>
      <name val="Calibri"/>
    </font>
    <font>
      <b/>
      <sz val="11.0"/>
      <color theme="1"/>
      <name val="Calibri"/>
    </font>
    <font>
      <sz val="12.0"/>
      <color theme="1"/>
      <name val="Times New Roman"/>
    </font>
    <font>
      <b/>
      <sz val="12.0"/>
      <color theme="1"/>
      <name val="Times New Roman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Times New Roman"/>
    </font>
    <font>
      <b/>
      <color theme="1"/>
      <name val="Arial"/>
    </font>
    <font>
      <sz val="11.0"/>
      <color theme="1"/>
      <name val="Times New Roman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6868"/>
        <bgColor rgb="FFFF6868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2" fontId="4" numFmtId="0" xfId="0" applyAlignment="1" applyFill="1" applyFont="1">
      <alignment horizontal="center" vertical="bottom"/>
    </xf>
    <xf borderId="4" fillId="0" fontId="3" numFmtId="164" xfId="0" applyAlignment="1" applyBorder="1" applyFont="1" applyNumberFormat="1">
      <alignment vertical="bottom"/>
    </xf>
    <xf borderId="5" fillId="0" fontId="2" numFmtId="0" xfId="0" applyBorder="1" applyFont="1"/>
    <xf borderId="0" fillId="0" fontId="3" numFmtId="164" xfId="0" applyAlignment="1" applyFont="1" applyNumberFormat="1">
      <alignment vertical="bottom"/>
    </xf>
    <xf borderId="6" fillId="2" fontId="5" numFmtId="165" xfId="0" applyAlignment="1" applyBorder="1" applyFill="1" applyFont="1" applyNumberFormat="1">
      <alignment vertical="bottom"/>
    </xf>
    <xf borderId="1" fillId="2" fontId="5" numFmtId="166" xfId="0" applyAlignment="1" applyBorder="1" applyFill="1" applyFont="1" applyNumberFormat="1">
      <alignment horizontal="left" vertical="bottom"/>
    </xf>
    <xf borderId="6" fillId="2" fontId="5" numFmtId="164" xfId="0" applyAlignment="1" applyBorder="1" applyFill="1" applyFont="1" applyNumberFormat="1">
      <alignment vertical="bottom"/>
    </xf>
    <xf borderId="1" fillId="2" fontId="5" numFmtId="164" xfId="0" applyAlignment="1" applyBorder="1" applyFill="1" applyFont="1" applyNumberFormat="1">
      <alignment vertical="bottom"/>
    </xf>
    <xf borderId="4" fillId="0" fontId="6" numFmtId="164" xfId="0" applyAlignment="1" applyBorder="1" applyFont="1" applyNumberFormat="1">
      <alignment vertical="bottom"/>
    </xf>
    <xf borderId="0" fillId="0" fontId="6" numFmtId="164" xfId="0" applyAlignment="1" applyFont="1" applyNumberFormat="1">
      <alignment vertical="bottom"/>
    </xf>
    <xf borderId="1" fillId="2" fontId="3" numFmtId="165" xfId="0" applyAlignment="1" applyBorder="1" applyFill="1" applyFont="1" applyNumberFormat="1">
      <alignment horizontal="left" vertical="bottom"/>
    </xf>
    <xf borderId="1" fillId="2" fontId="5" numFmtId="165" xfId="0" applyAlignment="1" applyBorder="1" applyFill="1" applyFont="1" applyNumberFormat="1">
      <alignment vertical="bottom"/>
    </xf>
    <xf borderId="1" fillId="2" fontId="5" numFmtId="165" xfId="0" applyAlignment="1" applyBorder="1" applyFill="1" applyFont="1" applyNumberFormat="1">
      <alignment horizontal="left" vertical="bottom"/>
    </xf>
    <xf borderId="1" fillId="2" fontId="3" numFmtId="164" xfId="0" applyAlignment="1" applyBorder="1" applyFill="1" applyFont="1" applyNumberFormat="1">
      <alignment vertical="bottom"/>
    </xf>
    <xf borderId="4" fillId="0" fontId="6" numFmtId="0" xfId="0" applyAlignment="1" applyBorder="1" applyFont="1">
      <alignment vertical="bottom"/>
    </xf>
    <xf borderId="1" fillId="0" fontId="6" numFmtId="164" xfId="0" applyAlignment="1" applyBorder="1" applyFont="1" applyNumberFormat="1">
      <alignment vertical="bottom"/>
    </xf>
    <xf borderId="1" fillId="2" fontId="5" numFmtId="3" xfId="0" applyAlignment="1" applyBorder="1" applyFill="1" applyFont="1" applyNumberFormat="1">
      <alignment horizontal="left" vertical="bottom"/>
    </xf>
    <xf borderId="2" fillId="2" fontId="3" numFmtId="10" xfId="0" applyAlignment="1" applyBorder="1" applyFill="1" applyFont="1" applyNumberFormat="1">
      <alignment vertical="bottom"/>
    </xf>
    <xf borderId="6" fillId="0" fontId="3" numFmtId="164" xfId="0" applyAlignment="1" applyBorder="1" applyFont="1" applyNumberFormat="1">
      <alignment vertical="bottom"/>
    </xf>
    <xf borderId="1" fillId="2" fontId="5" numFmtId="165" xfId="0" applyAlignment="1" applyBorder="1" applyFill="1" applyFont="1" applyNumberFormat="1">
      <alignment horizontal="right" vertical="bottom"/>
    </xf>
    <xf borderId="2" fillId="2" fontId="5" numFmtId="164" xfId="0" applyAlignment="1" applyBorder="1" applyFill="1" applyFont="1" applyNumberFormat="1">
      <alignment horizontal="left" vertical="bottom"/>
    </xf>
    <xf borderId="6" fillId="0" fontId="7" numFmtId="165" xfId="0" applyAlignment="1" applyBorder="1" applyFont="1" applyNumberFormat="1">
      <alignment horizontal="center" vertical="bottom"/>
    </xf>
    <xf borderId="5" fillId="0" fontId="3" numFmtId="164" xfId="0" applyAlignment="1" applyBorder="1" applyFont="1" applyNumberFormat="1">
      <alignment vertical="bottom"/>
    </xf>
    <xf borderId="6" fillId="0" fontId="7" numFmtId="165" xfId="0" applyAlignment="1" applyBorder="1" applyFont="1" applyNumberFormat="1">
      <alignment horizontal="center" readingOrder="0" vertical="bottom"/>
    </xf>
    <xf borderId="0" fillId="0" fontId="3" numFmtId="165" xfId="0" applyAlignment="1" applyFont="1" applyNumberFormat="1">
      <alignment vertical="bottom"/>
    </xf>
    <xf borderId="1" fillId="3" fontId="5" numFmtId="165" xfId="0" applyAlignment="1" applyBorder="1" applyFill="1" applyFont="1" applyNumberFormat="1">
      <alignment vertical="bottom"/>
    </xf>
    <xf borderId="6" fillId="3" fontId="5" numFmtId="165" xfId="0" applyAlignment="1" applyBorder="1" applyFill="1" applyFont="1" applyNumberFormat="1">
      <alignment horizontal="right" vertical="bottom"/>
    </xf>
    <xf borderId="6" fillId="0" fontId="6" numFmtId="165" xfId="0" applyAlignment="1" applyBorder="1" applyFont="1" applyNumberFormat="1">
      <alignment vertical="bottom"/>
    </xf>
    <xf borderId="6" fillId="0" fontId="6" numFmtId="4" xfId="0" applyAlignment="1" applyBorder="1" applyFont="1" applyNumberFormat="1">
      <alignment horizontal="center" vertical="bottom"/>
    </xf>
    <xf borderId="6" fillId="0" fontId="6" numFmtId="4" xfId="0" applyAlignment="1" applyBorder="1" applyFont="1" applyNumberFormat="1">
      <alignment horizontal="center" readingOrder="0" vertical="bottom"/>
    </xf>
    <xf borderId="0" fillId="0" fontId="3" numFmtId="4" xfId="0" applyAlignment="1" applyFont="1" applyNumberFormat="1">
      <alignment vertical="bottom"/>
    </xf>
    <xf borderId="7" fillId="3" fontId="5" numFmtId="165" xfId="0" applyAlignment="1" applyBorder="1" applyFill="1" applyFont="1" applyNumberFormat="1">
      <alignment horizontal="center" vertical="bottom"/>
    </xf>
    <xf borderId="6" fillId="3" fontId="8" numFmtId="165" xfId="0" applyAlignment="1" applyBorder="1" applyFill="1" applyFont="1" applyNumberFormat="1">
      <alignment vertical="bottom"/>
    </xf>
    <xf borderId="6" fillId="3" fontId="8" numFmtId="3" xfId="0" applyAlignment="1" applyBorder="1" applyFill="1" applyFont="1" applyNumberFormat="1">
      <alignment horizontal="right" vertical="bottom"/>
    </xf>
    <xf borderId="6" fillId="3" fontId="8" numFmtId="3" xfId="0" applyAlignment="1" applyBorder="1" applyFill="1" applyFont="1" applyNumberFormat="1">
      <alignment horizontal="center" vertical="bottom"/>
    </xf>
    <xf borderId="6" fillId="3" fontId="3" numFmtId="165" xfId="0" applyAlignment="1" applyBorder="1" applyFill="1" applyFont="1" applyNumberFormat="1">
      <alignment vertical="bottom"/>
    </xf>
    <xf borderId="6" fillId="0" fontId="6" numFmtId="167" xfId="0" applyAlignment="1" applyBorder="1" applyFont="1" applyNumberFormat="1">
      <alignment horizontal="center" vertical="bottom"/>
    </xf>
    <xf borderId="0" fillId="0" fontId="3" numFmtId="167" xfId="0" applyAlignment="1" applyFont="1" applyNumberFormat="1">
      <alignment vertical="bottom"/>
    </xf>
    <xf borderId="8" fillId="0" fontId="2" numFmtId="0" xfId="0" applyBorder="1" applyFont="1"/>
    <xf borderId="9" fillId="0" fontId="2" numFmtId="0" xfId="0" applyBorder="1" applyFont="1"/>
    <xf borderId="6" fillId="0" fontId="3" numFmtId="4" xfId="0" applyAlignment="1" applyBorder="1" applyFont="1" applyNumberFormat="1">
      <alignment vertical="bottom"/>
    </xf>
    <xf borderId="1" fillId="4" fontId="5" numFmtId="165" xfId="0" applyAlignment="1" applyBorder="1" applyFill="1" applyFont="1" applyNumberFormat="1">
      <alignment vertical="bottom"/>
    </xf>
    <xf borderId="6" fillId="4" fontId="5" numFmtId="165" xfId="0" applyAlignment="1" applyBorder="1" applyFill="1" applyFont="1" applyNumberFormat="1">
      <alignment horizontal="right" vertical="bottom"/>
    </xf>
    <xf borderId="6" fillId="0" fontId="9" numFmtId="4" xfId="0" applyAlignment="1" applyBorder="1" applyFont="1" applyNumberFormat="1">
      <alignment horizontal="center" vertical="bottom"/>
    </xf>
    <xf borderId="6" fillId="0" fontId="3" numFmtId="165" xfId="0" applyAlignment="1" applyBorder="1" applyFont="1" applyNumberFormat="1">
      <alignment vertical="bottom"/>
    </xf>
    <xf borderId="7" fillId="4" fontId="5" numFmtId="165" xfId="0" applyAlignment="1" applyBorder="1" applyFill="1" applyFont="1" applyNumberFormat="1">
      <alignment horizontal="center"/>
    </xf>
    <xf borderId="6" fillId="0" fontId="6" numFmtId="167" xfId="0" applyAlignment="1" applyBorder="1" applyFont="1" applyNumberFormat="1">
      <alignment horizontal="center" readingOrder="0" vertical="bottom"/>
    </xf>
    <xf borderId="6" fillId="4" fontId="8" numFmtId="165" xfId="0" applyAlignment="1" applyBorder="1" applyFill="1" applyFont="1" applyNumberFormat="1">
      <alignment vertical="bottom"/>
    </xf>
    <xf borderId="6" fillId="4" fontId="8" numFmtId="165" xfId="0" applyAlignment="1" applyBorder="1" applyFill="1" applyFont="1" applyNumberFormat="1">
      <alignment horizontal="right" vertical="bottom"/>
    </xf>
    <xf borderId="6" fillId="4" fontId="8" numFmtId="3" xfId="0" applyAlignment="1" applyBorder="1" applyFill="1" applyFont="1" applyNumberFormat="1">
      <alignment horizontal="center" vertical="bottom"/>
    </xf>
    <xf borderId="6" fillId="4" fontId="3" numFmtId="165" xfId="0" applyAlignment="1" applyBorder="1" applyFill="1" applyFont="1" applyNumberFormat="1">
      <alignment vertical="bottom"/>
    </xf>
    <xf borderId="6" fillId="0" fontId="7" numFmtId="4" xfId="0" applyAlignment="1" applyBorder="1" applyFont="1" applyNumberFormat="1">
      <alignment horizontal="center" vertical="bottom"/>
    </xf>
    <xf borderId="7" fillId="0" fontId="6" numFmtId="165" xfId="0" applyAlignment="1" applyBorder="1" applyFont="1" applyNumberFormat="1">
      <alignment vertical="top"/>
    </xf>
    <xf borderId="7" fillId="0" fontId="3" numFmtId="165" xfId="0" applyAlignment="1" applyBorder="1" applyFont="1" applyNumberFormat="1">
      <alignment vertical="top"/>
    </xf>
    <xf borderId="0" fillId="0" fontId="3" numFmtId="165" xfId="0" applyAlignment="1" applyFont="1" applyNumberFormat="1">
      <alignment vertical="top"/>
    </xf>
    <xf borderId="7" fillId="4" fontId="5" numFmtId="165" xfId="0" applyAlignment="1" applyBorder="1" applyFill="1" applyFont="1" applyNumberFormat="1">
      <alignment horizontal="center" vertical="bottom"/>
    </xf>
    <xf borderId="6" fillId="4" fontId="3" numFmtId="165" xfId="0" applyAlignment="1" applyBorder="1" applyFill="1" applyFont="1" applyNumberFormat="1">
      <alignment horizontal="right" vertical="bottom"/>
    </xf>
    <xf borderId="10" fillId="0" fontId="7" numFmtId="165" xfId="0" applyAlignment="1" applyBorder="1" applyFont="1" applyNumberFormat="1">
      <alignment horizontal="center" readingOrder="0" vertical="top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4" fillId="0" fontId="7" numFmtId="165" xfId="0" applyAlignment="1" applyBorder="1" applyFont="1" applyNumberFormat="1">
      <alignment readingOrder="0" vertical="bottom"/>
    </xf>
    <xf borderId="4" fillId="0" fontId="10" numFmtId="165" xfId="0" applyAlignment="1" applyBorder="1" applyFont="1" applyNumberFormat="1">
      <alignment vertical="bottom"/>
    </xf>
    <xf borderId="0" fillId="0" fontId="10" numFmtId="164" xfId="0" applyAlignment="1" applyFont="1" applyNumberFormat="1">
      <alignment vertical="bottom"/>
    </xf>
    <xf borderId="0" fillId="0" fontId="10" numFmtId="165" xfId="0" applyAlignment="1" applyFont="1" applyNumberFormat="1">
      <alignment vertical="bottom"/>
    </xf>
    <xf borderId="6" fillId="4" fontId="9" numFmtId="165" xfId="0" applyAlignment="1" applyBorder="1" applyFill="1" applyFont="1" applyNumberFormat="1">
      <alignment horizontal="right" vertical="bottom"/>
    </xf>
    <xf borderId="13" fillId="0" fontId="3" numFmtId="165" xfId="0" applyAlignment="1" applyBorder="1" applyFont="1" applyNumberFormat="1">
      <alignment vertical="bottom"/>
    </xf>
    <xf borderId="6" fillId="4" fontId="11" numFmtId="165" xfId="0" applyAlignment="1" applyBorder="1" applyFill="1" applyFont="1" applyNumberFormat="1">
      <alignment horizontal="center" vertical="bottom"/>
    </xf>
    <xf borderId="6" fillId="0" fontId="10" numFmtId="165" xfId="0" applyAlignment="1" applyBorder="1" applyFont="1" applyNumberFormat="1">
      <alignment horizontal="center" vertical="bottom"/>
    </xf>
    <xf borderId="6" fillId="5" fontId="10" numFmtId="165" xfId="0" applyAlignment="1" applyBorder="1" applyFill="1" applyFont="1" applyNumberFormat="1">
      <alignment horizontal="center" vertical="bottom"/>
    </xf>
    <xf borderId="6" fillId="0" fontId="12" numFmtId="165" xfId="0" applyAlignment="1" applyBorder="1" applyFont="1" applyNumberFormat="1">
      <alignment horizontal="center" vertical="bottom"/>
    </xf>
    <xf borderId="6" fillId="0" fontId="12" numFmtId="4" xfId="0" applyAlignment="1" applyBorder="1" applyFont="1" applyNumberFormat="1">
      <alignment horizontal="right" vertical="bottom"/>
    </xf>
    <xf borderId="6" fillId="0" fontId="12" numFmtId="4" xfId="0" applyAlignment="1" applyBorder="1" applyFont="1" applyNumberFormat="1">
      <alignment horizontal="right" readingOrder="0" vertical="bottom"/>
    </xf>
    <xf borderId="7" fillId="4" fontId="11" numFmtId="165" xfId="0" applyAlignment="1" applyBorder="1" applyFill="1" applyFont="1" applyNumberFormat="1">
      <alignment horizontal="center" vertical="bottom"/>
    </xf>
    <xf borderId="6" fillId="4" fontId="3" numFmtId="165" xfId="0" applyAlignment="1" applyBorder="1" applyFill="1" applyFont="1" applyNumberFormat="1">
      <alignment horizontal="right" readingOrder="0" vertical="bottom"/>
    </xf>
    <xf borderId="6" fillId="5" fontId="12" numFmtId="4" xfId="0" applyAlignment="1" applyBorder="1" applyFill="1" applyFont="1" applyNumberFormat="1">
      <alignment horizontal="right" vertical="bottom"/>
    </xf>
    <xf borderId="6" fillId="5" fontId="3" numFmtId="4" xfId="0" applyAlignment="1" applyBorder="1" applyFill="1" applyFont="1" applyNumberFormat="1">
      <alignment vertical="bottom"/>
    </xf>
    <xf borderId="6" fillId="4" fontId="3" numFmtId="165" xfId="0" applyAlignment="1" applyBorder="1" applyFill="1" applyFont="1" applyNumberFormat="1">
      <alignment readingOrder="0" vertical="bottom"/>
    </xf>
    <xf borderId="1" fillId="6" fontId="11" numFmtId="165" xfId="0" applyAlignment="1" applyBorder="1" applyFill="1" applyFont="1" applyNumberFormat="1">
      <alignment vertical="bottom"/>
    </xf>
    <xf borderId="6" fillId="6" fontId="11" numFmtId="165" xfId="0" applyAlignment="1" applyBorder="1" applyFill="1" applyFont="1" applyNumberFormat="1">
      <alignment horizontal="right" vertical="bottom"/>
    </xf>
    <xf borderId="6" fillId="0" fontId="10" numFmtId="4" xfId="0" applyAlignment="1" applyBorder="1" applyFont="1" applyNumberFormat="1">
      <alignment horizontal="right" vertical="bottom"/>
    </xf>
    <xf borderId="6" fillId="5" fontId="10" numFmtId="4" xfId="0" applyAlignment="1" applyBorder="1" applyFill="1" applyFont="1" applyNumberFormat="1">
      <alignment horizontal="right" vertical="bottom"/>
    </xf>
    <xf borderId="6" fillId="5" fontId="3" numFmtId="165" xfId="0" applyAlignment="1" applyBorder="1" applyFill="1" applyFont="1" applyNumberFormat="1">
      <alignment vertical="bottom"/>
    </xf>
    <xf borderId="6" fillId="5" fontId="12" numFmtId="165" xfId="0" applyAlignment="1" applyBorder="1" applyFill="1" applyFont="1" applyNumberFormat="1">
      <alignment horizontal="center" vertical="bottom"/>
    </xf>
    <xf borderId="10" fillId="6" fontId="11" numFmtId="165" xfId="0" applyAlignment="1" applyBorder="1" applyFill="1" applyFont="1" applyNumberFormat="1">
      <alignment vertical="bottom"/>
    </xf>
    <xf borderId="7" fillId="6" fontId="11" numFmtId="10" xfId="0" applyAlignment="1" applyBorder="1" applyFill="1" applyFont="1" applyNumberFormat="1">
      <alignment horizontal="right" vertical="bottom"/>
    </xf>
    <xf borderId="6" fillId="5" fontId="12" numFmtId="4" xfId="0" applyAlignment="1" applyBorder="1" applyFill="1" applyFont="1" applyNumberFormat="1">
      <alignment horizontal="right" readingOrder="0" vertical="bottom"/>
    </xf>
    <xf borderId="10" fillId="0" fontId="3" numFmtId="165" xfId="0" applyAlignment="1" applyBorder="1" applyFont="1" applyNumberFormat="1">
      <alignment vertical="bottom"/>
    </xf>
    <xf borderId="6" fillId="5" fontId="3" numFmtId="165" xfId="0" applyAlignment="1" applyBorder="1" applyFill="1" applyFont="1" applyNumberFormat="1">
      <alignment horizontal="center" vertical="bottom"/>
    </xf>
    <xf borderId="4" fillId="0" fontId="3" numFmtId="165" xfId="0" applyAlignment="1" applyBorder="1" applyFont="1" applyNumberFormat="1">
      <alignment vertical="bottom"/>
    </xf>
    <xf borderId="6" fillId="5" fontId="3" numFmtId="4" xfId="0" applyAlignment="1" applyBorder="1" applyFill="1" applyFont="1" applyNumberFormat="1">
      <alignment horizontal="right" vertical="bottom"/>
    </xf>
    <xf borderId="6" fillId="7" fontId="12" numFmtId="165" xfId="0" applyAlignment="1" applyBorder="1" applyFill="1" applyFont="1" applyNumberFormat="1">
      <alignment horizontal="center" vertical="bottom"/>
    </xf>
    <xf borderId="6" fillId="7" fontId="12" numFmtId="4" xfId="0" applyAlignment="1" applyBorder="1" applyFill="1" applyFont="1" applyNumberFormat="1">
      <alignment horizontal="right" vertical="bottom"/>
    </xf>
    <xf borderId="0" fillId="0" fontId="1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</cols>
  <sheetData>
    <row r="3">
      <c r="B3" s="1" t="s">
        <v>0</v>
      </c>
      <c r="C3" s="2"/>
      <c r="D3" s="2"/>
      <c r="E3" s="3"/>
      <c r="F3" s="4"/>
      <c r="G3" s="5" t="s">
        <v>1</v>
      </c>
    </row>
    <row r="4">
      <c r="B4" s="6"/>
      <c r="E4" s="7"/>
      <c r="F4" s="8"/>
      <c r="G4" s="9" t="s">
        <v>2</v>
      </c>
      <c r="H4" s="10">
        <v>46225.0</v>
      </c>
      <c r="I4" s="3"/>
      <c r="J4" s="11" t="s">
        <v>3</v>
      </c>
      <c r="K4" s="12" t="str">
        <f>C9</f>
        <v>PT Jagad</v>
      </c>
      <c r="L4" s="3"/>
    </row>
    <row r="5">
      <c r="B5" s="13" t="s">
        <v>4</v>
      </c>
      <c r="D5" s="14" t="s">
        <v>5</v>
      </c>
      <c r="E5" s="7"/>
      <c r="F5" s="8"/>
      <c r="G5" s="9" t="s">
        <v>6</v>
      </c>
      <c r="H5" s="15"/>
      <c r="I5" s="3"/>
      <c r="J5" s="11" t="s">
        <v>7</v>
      </c>
      <c r="K5" s="12" t="str">
        <f>C26</f>
        <v>Samarinda</v>
      </c>
      <c r="L5" s="3"/>
    </row>
    <row r="6">
      <c r="B6" s="13" t="s">
        <v>8</v>
      </c>
      <c r="D6" s="14" t="s">
        <v>9</v>
      </c>
      <c r="E6" s="7"/>
      <c r="F6" s="8"/>
      <c r="G6" s="16" t="s">
        <v>10</v>
      </c>
      <c r="H6" s="17" t="s">
        <v>11</v>
      </c>
      <c r="I6" s="2"/>
      <c r="J6" s="11" t="s">
        <v>12</v>
      </c>
      <c r="K6" s="18" t="str">
        <f>C18</f>
        <v/>
      </c>
      <c r="L6" s="3"/>
    </row>
    <row r="7">
      <c r="B7" s="19" t="s">
        <v>13</v>
      </c>
      <c r="D7" s="20" t="s">
        <v>14</v>
      </c>
      <c r="E7" s="3"/>
      <c r="F7" s="8"/>
      <c r="G7" s="16" t="s">
        <v>15</v>
      </c>
      <c r="H7" s="21">
        <v>22450.0</v>
      </c>
      <c r="I7" s="2"/>
      <c r="J7" s="11" t="s">
        <v>16</v>
      </c>
      <c r="K7" s="22"/>
      <c r="L7" s="3"/>
    </row>
    <row r="8">
      <c r="B8" s="6"/>
      <c r="C8" s="8"/>
      <c r="D8" s="23"/>
      <c r="E8" s="23"/>
      <c r="F8" s="8"/>
      <c r="G8" s="24" t="s">
        <v>17</v>
      </c>
      <c r="H8" s="2"/>
      <c r="I8" s="2"/>
      <c r="J8" s="25">
        <f>sum(I11:I13)</f>
        <v>25900</v>
      </c>
      <c r="K8" s="2"/>
      <c r="L8" s="3"/>
    </row>
    <row r="9">
      <c r="B9" s="26" t="s">
        <v>18</v>
      </c>
      <c r="C9" s="26" t="s">
        <v>19</v>
      </c>
      <c r="D9" s="28" t="s">
        <v>20</v>
      </c>
      <c r="E9" s="26" t="s">
        <v>21</v>
      </c>
      <c r="F9" s="29"/>
      <c r="G9" s="30" t="s">
        <v>22</v>
      </c>
      <c r="H9" s="2"/>
      <c r="I9" s="2"/>
      <c r="J9" s="2"/>
      <c r="K9" s="3"/>
      <c r="L9" s="31">
        <f>L10*J11</f>
        <v>1295000000</v>
      </c>
    </row>
    <row r="10">
      <c r="B10" s="32" t="s">
        <v>23</v>
      </c>
      <c r="C10" s="33">
        <f>19900</f>
        <v>19900</v>
      </c>
      <c r="D10" s="34">
        <v>20000.0</v>
      </c>
      <c r="E10" s="33">
        <v>0.0</v>
      </c>
      <c r="F10" s="35"/>
      <c r="G10" s="30" t="s">
        <v>27</v>
      </c>
      <c r="H10" s="2"/>
      <c r="I10" s="2"/>
      <c r="J10" s="2"/>
      <c r="K10" s="3"/>
      <c r="L10" s="31">
        <f>SUM(I11:I13)</f>
        <v>25900</v>
      </c>
    </row>
    <row r="11">
      <c r="B11" s="32" t="s">
        <v>28</v>
      </c>
      <c r="C11" s="33">
        <f t="shared" ref="C11:E11" si="1">C10*11%</f>
        <v>2189</v>
      </c>
      <c r="D11" s="33">
        <f t="shared" si="1"/>
        <v>2200</v>
      </c>
      <c r="E11" s="33">
        <f t="shared" si="1"/>
        <v>0</v>
      </c>
      <c r="F11" s="35"/>
      <c r="G11" s="36" t="s">
        <v>29</v>
      </c>
      <c r="H11" s="37" t="s">
        <v>23</v>
      </c>
      <c r="I11" s="38">
        <f>25900/1.11</f>
        <v>23333.33333</v>
      </c>
      <c r="J11" s="39">
        <v>50000.0</v>
      </c>
      <c r="K11" s="38">
        <f t="shared" ref="K11:K13" si="2">I11*J11</f>
        <v>1166666667</v>
      </c>
      <c r="L11" s="40"/>
    </row>
    <row r="12">
      <c r="B12" s="32" t="s">
        <v>30</v>
      </c>
      <c r="C12" s="33">
        <v>0.0</v>
      </c>
      <c r="D12" s="33">
        <f>D10*7.5%</f>
        <v>1500</v>
      </c>
      <c r="E12" s="41">
        <v>0.0</v>
      </c>
      <c r="F12" s="42"/>
      <c r="G12" s="43"/>
      <c r="H12" s="37" t="s">
        <v>30</v>
      </c>
      <c r="I12" s="38">
        <f>I11*7.5%*0</f>
        <v>0</v>
      </c>
      <c r="J12" s="39">
        <f t="shared" ref="J12:J13" si="3">J11</f>
        <v>50000</v>
      </c>
      <c r="K12" s="38">
        <f t="shared" si="2"/>
        <v>0</v>
      </c>
      <c r="L12" s="40"/>
    </row>
    <row r="13">
      <c r="B13" s="32" t="s">
        <v>31</v>
      </c>
      <c r="C13" s="33">
        <v>0.0</v>
      </c>
      <c r="D13" s="41">
        <f>D10*0.3%</f>
        <v>60</v>
      </c>
      <c r="E13" s="33">
        <v>0.0</v>
      </c>
      <c r="F13" s="35"/>
      <c r="G13" s="44"/>
      <c r="H13" s="37" t="s">
        <v>32</v>
      </c>
      <c r="I13" s="38">
        <f>I11*11%</f>
        <v>2566.666667</v>
      </c>
      <c r="J13" s="39">
        <f t="shared" si="3"/>
        <v>50000</v>
      </c>
      <c r="K13" s="38">
        <f t="shared" si="2"/>
        <v>128333333.3</v>
      </c>
      <c r="L13" s="40"/>
    </row>
    <row r="14">
      <c r="B14" s="32" t="s">
        <v>33</v>
      </c>
      <c r="C14" s="33">
        <v>0.0</v>
      </c>
      <c r="D14" s="34">
        <v>200.0</v>
      </c>
      <c r="E14" s="45"/>
      <c r="F14" s="35"/>
      <c r="G14" s="46" t="s">
        <v>34</v>
      </c>
      <c r="H14" s="2"/>
      <c r="I14" s="2"/>
      <c r="J14" s="2"/>
      <c r="K14" s="3"/>
      <c r="L14" s="47">
        <f>sum(K16:K33)</f>
        <v>1239340000</v>
      </c>
    </row>
    <row r="15">
      <c r="B15" s="32" t="s">
        <v>35</v>
      </c>
      <c r="C15" s="33">
        <f t="shared" ref="C15:D15" si="4">C14*11%</f>
        <v>0</v>
      </c>
      <c r="D15" s="41">
        <f t="shared" si="4"/>
        <v>22</v>
      </c>
      <c r="E15" s="45"/>
      <c r="F15" s="35"/>
      <c r="G15" s="46" t="s">
        <v>36</v>
      </c>
      <c r="H15" s="2"/>
      <c r="I15" s="2"/>
      <c r="J15" s="2"/>
      <c r="K15" s="3"/>
      <c r="L15" s="47">
        <f>sum(I16:I33)</f>
        <v>24786.8</v>
      </c>
    </row>
    <row r="16">
      <c r="B16" s="32" t="s">
        <v>37</v>
      </c>
      <c r="C16" s="48">
        <v>0.0</v>
      </c>
      <c r="D16" s="49"/>
      <c r="E16" s="45"/>
      <c r="F16" s="35"/>
      <c r="G16" s="50" t="s">
        <v>38</v>
      </c>
      <c r="H16" s="52" t="s">
        <v>23</v>
      </c>
      <c r="I16" s="53">
        <f>D30</f>
        <v>21880</v>
      </c>
      <c r="J16" s="54">
        <f>J11</f>
        <v>50000</v>
      </c>
      <c r="K16" s="53">
        <f t="shared" ref="K16:K33" si="5">I16*J16</f>
        <v>1094000000</v>
      </c>
      <c r="L16" s="55"/>
    </row>
    <row r="17">
      <c r="B17" s="49"/>
      <c r="C17" s="56">
        <f>sum(C10:C16)</f>
        <v>22089</v>
      </c>
      <c r="D17" s="56">
        <f>sum(D10:D15)</f>
        <v>23982</v>
      </c>
      <c r="E17" s="56">
        <f>SUM(E10:E16)</f>
        <v>0</v>
      </c>
      <c r="F17" s="35"/>
      <c r="G17" s="43"/>
      <c r="H17" s="52" t="s">
        <v>33</v>
      </c>
      <c r="I17" s="53">
        <f t="shared" ref="I17:I18" si="6">I15*7.5%*0</f>
        <v>0</v>
      </c>
      <c r="J17" s="54">
        <f t="shared" ref="J17:J33" si="7">J16</f>
        <v>50000</v>
      </c>
      <c r="K17" s="53">
        <f t="shared" si="5"/>
        <v>0</v>
      </c>
      <c r="L17" s="55"/>
    </row>
    <row r="18">
      <c r="B18" s="57" t="s">
        <v>39</v>
      </c>
      <c r="C18" s="58"/>
      <c r="D18" s="58"/>
      <c r="E18" s="58"/>
      <c r="F18" s="59"/>
      <c r="G18" s="43"/>
      <c r="H18" s="52" t="s">
        <v>30</v>
      </c>
      <c r="I18" s="53">
        <f t="shared" si="6"/>
        <v>0</v>
      </c>
      <c r="J18" s="54">
        <f t="shared" si="7"/>
        <v>50000</v>
      </c>
      <c r="K18" s="53">
        <f t="shared" si="5"/>
        <v>0</v>
      </c>
      <c r="L18" s="55"/>
    </row>
    <row r="19">
      <c r="B19" s="43"/>
      <c r="C19" s="43"/>
      <c r="D19" s="43"/>
      <c r="E19" s="43"/>
      <c r="F19" s="59"/>
      <c r="G19" s="43"/>
      <c r="H19" s="52" t="s">
        <v>40</v>
      </c>
      <c r="I19" s="53">
        <v>0.0</v>
      </c>
      <c r="J19" s="54">
        <f t="shared" si="7"/>
        <v>50000</v>
      </c>
      <c r="K19" s="53">
        <f t="shared" si="5"/>
        <v>0</v>
      </c>
      <c r="L19" s="55"/>
    </row>
    <row r="20">
      <c r="B20" s="43"/>
      <c r="C20" s="43"/>
      <c r="D20" s="43"/>
      <c r="E20" s="43"/>
      <c r="F20" s="59"/>
      <c r="G20" s="43"/>
      <c r="H20" s="52" t="s">
        <v>41</v>
      </c>
      <c r="I20" s="53">
        <v>0.0</v>
      </c>
      <c r="J20" s="54">
        <f t="shared" si="7"/>
        <v>50000</v>
      </c>
      <c r="K20" s="53">
        <f t="shared" si="5"/>
        <v>0</v>
      </c>
      <c r="L20" s="55"/>
    </row>
    <row r="21">
      <c r="B21" s="44"/>
      <c r="C21" s="44"/>
      <c r="D21" s="44"/>
      <c r="E21" s="44"/>
      <c r="F21" s="59"/>
      <c r="G21" s="60" t="s">
        <v>42</v>
      </c>
      <c r="H21" s="55" t="s">
        <v>32</v>
      </c>
      <c r="I21" s="61">
        <f>I16*11%</f>
        <v>2406.8</v>
      </c>
      <c r="J21" s="54">
        <f t="shared" si="7"/>
        <v>50000</v>
      </c>
      <c r="K21" s="61">
        <f t="shared" si="5"/>
        <v>120340000</v>
      </c>
      <c r="L21" s="55"/>
    </row>
    <row r="22">
      <c r="B22" s="29"/>
      <c r="C22" s="29"/>
      <c r="D22" s="29"/>
      <c r="E22" s="29"/>
      <c r="F22" s="29"/>
      <c r="G22" s="43"/>
      <c r="H22" s="55" t="s">
        <v>43</v>
      </c>
      <c r="I22" s="61">
        <v>0.0</v>
      </c>
      <c r="J22" s="54">
        <f t="shared" si="7"/>
        <v>50000</v>
      </c>
      <c r="K22" s="61">
        <f t="shared" si="5"/>
        <v>0</v>
      </c>
      <c r="L22" s="55"/>
    </row>
    <row r="23">
      <c r="B23" s="62" t="s">
        <v>44</v>
      </c>
      <c r="C23" s="63"/>
      <c r="D23" s="64"/>
      <c r="E23" s="29"/>
      <c r="F23" s="29"/>
      <c r="G23" s="60" t="s">
        <v>45</v>
      </c>
      <c r="H23" s="52" t="s">
        <v>46</v>
      </c>
      <c r="I23" s="53">
        <v>0.0</v>
      </c>
      <c r="J23" s="54">
        <f t="shared" si="7"/>
        <v>50000</v>
      </c>
      <c r="K23" s="53">
        <f t="shared" si="5"/>
        <v>0</v>
      </c>
      <c r="L23" s="55"/>
    </row>
    <row r="24">
      <c r="B24" s="65"/>
      <c r="C24" s="66"/>
      <c r="D24" s="67"/>
      <c r="E24" s="29"/>
      <c r="F24" s="29"/>
      <c r="G24" s="43"/>
      <c r="H24" s="52" t="s">
        <v>47</v>
      </c>
      <c r="I24" s="53">
        <v>0.0</v>
      </c>
      <c r="J24" s="54">
        <f t="shared" si="7"/>
        <v>50000</v>
      </c>
      <c r="K24" s="53">
        <f t="shared" si="5"/>
        <v>0</v>
      </c>
      <c r="L24" s="55"/>
    </row>
    <row r="25">
      <c r="B25" s="68" t="s">
        <v>48</v>
      </c>
      <c r="D25" s="7"/>
      <c r="E25" s="29"/>
      <c r="F25" s="29"/>
      <c r="G25" s="44"/>
      <c r="H25" s="55" t="s">
        <v>49</v>
      </c>
      <c r="I25" s="61">
        <v>0.0</v>
      </c>
      <c r="J25" s="54">
        <f t="shared" si="7"/>
        <v>50000</v>
      </c>
      <c r="K25" s="61">
        <f t="shared" si="5"/>
        <v>0</v>
      </c>
      <c r="L25" s="55"/>
    </row>
    <row r="26">
      <c r="B26" s="69" t="s">
        <v>50</v>
      </c>
      <c r="C26" s="70" t="s">
        <v>14</v>
      </c>
      <c r="D26" s="7"/>
      <c r="E26" s="29"/>
      <c r="F26" s="29"/>
      <c r="G26" s="60" t="s">
        <v>51</v>
      </c>
      <c r="H26" s="52" t="s">
        <v>52</v>
      </c>
      <c r="I26" s="53">
        <v>0.0</v>
      </c>
      <c r="J26" s="54">
        <f t="shared" si="7"/>
        <v>50000</v>
      </c>
      <c r="K26" s="53">
        <f t="shared" si="5"/>
        <v>0</v>
      </c>
      <c r="L26" s="55"/>
    </row>
    <row r="27">
      <c r="B27" s="69" t="s">
        <v>53</v>
      </c>
      <c r="C27" s="71" t="str">
        <f>D9</f>
        <v>AKR</v>
      </c>
      <c r="D27" s="7"/>
      <c r="E27" s="29"/>
      <c r="F27" s="29"/>
      <c r="G27" s="44"/>
      <c r="H27" s="55" t="s">
        <v>54</v>
      </c>
      <c r="I27" s="72">
        <v>50.0</v>
      </c>
      <c r="J27" s="54">
        <f t="shared" si="7"/>
        <v>50000</v>
      </c>
      <c r="K27" s="61">
        <f t="shared" si="5"/>
        <v>2500000</v>
      </c>
      <c r="L27" s="55"/>
    </row>
    <row r="28">
      <c r="B28" s="73"/>
      <c r="C28" s="66"/>
      <c r="D28" s="67"/>
      <c r="E28" s="29"/>
      <c r="F28" s="29"/>
      <c r="G28" s="74" t="s">
        <v>55</v>
      </c>
      <c r="H28" s="55" t="s">
        <v>56</v>
      </c>
      <c r="I28" s="61">
        <v>0.0</v>
      </c>
      <c r="J28" s="54">
        <f t="shared" si="7"/>
        <v>50000</v>
      </c>
      <c r="K28" s="61">
        <f t="shared" si="5"/>
        <v>0</v>
      </c>
      <c r="L28" s="55"/>
    </row>
    <row r="29">
      <c r="B29" s="75" t="s">
        <v>18</v>
      </c>
      <c r="C29" s="75" t="s">
        <v>57</v>
      </c>
      <c r="D29" s="76" t="s">
        <v>58</v>
      </c>
      <c r="E29" s="29"/>
      <c r="F29" s="29"/>
      <c r="G29" s="74" t="s">
        <v>59</v>
      </c>
      <c r="H29" s="55" t="s">
        <v>60</v>
      </c>
      <c r="I29" s="61">
        <v>0.0</v>
      </c>
      <c r="J29" s="54">
        <f t="shared" si="7"/>
        <v>50000</v>
      </c>
      <c r="K29" s="61">
        <f t="shared" si="5"/>
        <v>0</v>
      </c>
      <c r="L29" s="55"/>
    </row>
    <row r="30">
      <c r="B30" s="77" t="s">
        <v>23</v>
      </c>
      <c r="C30" s="78">
        <f>D10</f>
        <v>20000</v>
      </c>
      <c r="D30" s="79">
        <v>21880.0</v>
      </c>
      <c r="E30" s="29"/>
      <c r="F30" s="29"/>
      <c r="G30" s="80" t="s">
        <v>61</v>
      </c>
      <c r="H30" s="55" t="s">
        <v>62</v>
      </c>
      <c r="I30" s="81">
        <v>200.0</v>
      </c>
      <c r="J30" s="54">
        <f t="shared" si="7"/>
        <v>50000</v>
      </c>
      <c r="K30" s="61">
        <f t="shared" si="5"/>
        <v>10000000</v>
      </c>
      <c r="L30" s="55"/>
    </row>
    <row r="31">
      <c r="B31" s="77" t="s">
        <v>28</v>
      </c>
      <c r="C31" s="78">
        <f t="shared" ref="C31:D31" si="8">C30*11%</f>
        <v>2200</v>
      </c>
      <c r="D31" s="82">
        <f t="shared" si="8"/>
        <v>2406.8</v>
      </c>
      <c r="E31" s="35"/>
      <c r="F31" s="35"/>
      <c r="G31" s="44"/>
      <c r="H31" s="55" t="s">
        <v>63</v>
      </c>
      <c r="I31" s="81">
        <v>250.0</v>
      </c>
      <c r="J31" s="54">
        <f t="shared" si="7"/>
        <v>50000</v>
      </c>
      <c r="K31" s="61">
        <f t="shared" si="5"/>
        <v>12500000</v>
      </c>
      <c r="L31" s="55"/>
    </row>
    <row r="32">
      <c r="B32" s="77" t="s">
        <v>30</v>
      </c>
      <c r="C32" s="78">
        <f>C30*7.5%</f>
        <v>1500</v>
      </c>
      <c r="D32" s="83"/>
      <c r="E32" s="35"/>
      <c r="F32" s="35"/>
      <c r="G32" s="80" t="s">
        <v>64</v>
      </c>
      <c r="H32" s="55" t="s">
        <v>65</v>
      </c>
      <c r="I32" s="61">
        <v>0.0</v>
      </c>
      <c r="J32" s="54">
        <f t="shared" si="7"/>
        <v>50000</v>
      </c>
      <c r="K32" s="61">
        <f t="shared" si="5"/>
        <v>0</v>
      </c>
      <c r="L32" s="55"/>
    </row>
    <row r="33">
      <c r="B33" s="77" t="s">
        <v>31</v>
      </c>
      <c r="C33" s="78">
        <f>C30*0.3%</f>
        <v>60</v>
      </c>
      <c r="D33" s="83"/>
      <c r="E33" s="35"/>
      <c r="F33" s="35"/>
      <c r="G33" s="43"/>
      <c r="H33" s="55" t="s">
        <v>67</v>
      </c>
      <c r="I33" s="61">
        <v>0.0</v>
      </c>
      <c r="J33" s="54">
        <f t="shared" si="7"/>
        <v>50000</v>
      </c>
      <c r="K33" s="61">
        <f t="shared" si="5"/>
        <v>0</v>
      </c>
      <c r="L33" s="55"/>
    </row>
    <row r="34">
      <c r="B34" s="77" t="s">
        <v>33</v>
      </c>
      <c r="C34" s="79">
        <v>200.0</v>
      </c>
      <c r="D34" s="83"/>
      <c r="E34" s="35"/>
      <c r="F34" s="35"/>
      <c r="G34" s="85" t="s">
        <v>68</v>
      </c>
      <c r="H34" s="2"/>
      <c r="I34" s="2"/>
      <c r="J34" s="2"/>
      <c r="K34" s="3"/>
      <c r="L34" s="86">
        <f>L9-L14</f>
        <v>55660000</v>
      </c>
    </row>
    <row r="35">
      <c r="B35" s="77" t="s">
        <v>28</v>
      </c>
      <c r="C35" s="78">
        <f>C34*11%</f>
        <v>22</v>
      </c>
      <c r="D35" s="83"/>
      <c r="E35" s="35"/>
      <c r="F35" s="35"/>
      <c r="G35" s="85" t="s">
        <v>69</v>
      </c>
      <c r="H35" s="2"/>
      <c r="I35" s="2"/>
      <c r="J35" s="2"/>
      <c r="K35" s="3"/>
      <c r="L35" s="86">
        <f>K13-K21</f>
        <v>7993333.333</v>
      </c>
    </row>
    <row r="36">
      <c r="B36" s="75" t="s">
        <v>70</v>
      </c>
      <c r="C36" s="87">
        <f t="shared" ref="C36:D36" si="9">SUM(C30:C35)</f>
        <v>23982</v>
      </c>
      <c r="D36" s="88">
        <f t="shared" si="9"/>
        <v>24286.8</v>
      </c>
      <c r="E36" s="35"/>
      <c r="F36" s="35"/>
      <c r="G36" s="85" t="s">
        <v>71</v>
      </c>
      <c r="H36" s="2"/>
      <c r="I36" s="2"/>
      <c r="J36" s="2"/>
      <c r="K36" s="3"/>
      <c r="L36" s="86">
        <f>L34-L35</f>
        <v>47666666.67</v>
      </c>
    </row>
    <row r="37">
      <c r="B37" s="89"/>
      <c r="C37" s="83"/>
      <c r="D37" s="89"/>
      <c r="E37" s="35"/>
      <c r="F37" s="35"/>
      <c r="G37" s="85" t="s">
        <v>72</v>
      </c>
      <c r="H37" s="2"/>
      <c r="I37" s="2"/>
      <c r="J37" s="2"/>
      <c r="K37" s="3"/>
      <c r="L37" s="86">
        <f>L36/J11</f>
        <v>953.3333333</v>
      </c>
    </row>
    <row r="38">
      <c r="B38" s="90" t="s">
        <v>73</v>
      </c>
      <c r="C38" s="82">
        <f>D30-C30-C32-C33-C34</f>
        <v>120</v>
      </c>
      <c r="D38" s="89"/>
      <c r="E38" s="29"/>
      <c r="F38" s="29"/>
      <c r="G38" s="91" t="s">
        <v>74</v>
      </c>
      <c r="H38" s="63"/>
      <c r="I38" s="63"/>
      <c r="J38" s="63"/>
      <c r="K38" s="64"/>
      <c r="L38" s="92">
        <f>L36/L14</f>
        <v>0.03846133157</v>
      </c>
    </row>
    <row r="39">
      <c r="B39" s="90" t="s">
        <v>75</v>
      </c>
      <c r="C39" s="82">
        <f>D30*0.25%</f>
        <v>54.7</v>
      </c>
      <c r="D39" s="83"/>
      <c r="E39" s="29"/>
      <c r="F39" s="29"/>
      <c r="G39" s="94" t="s">
        <v>76</v>
      </c>
      <c r="H39" s="63"/>
      <c r="I39" s="63"/>
      <c r="J39" s="63"/>
      <c r="K39" s="63"/>
      <c r="L39" s="64"/>
    </row>
    <row r="40">
      <c r="B40" s="95" t="s">
        <v>77</v>
      </c>
      <c r="C40" s="82">
        <f>C38-C39</f>
        <v>65.3</v>
      </c>
      <c r="D40" s="89"/>
      <c r="E40" s="29"/>
      <c r="F40" s="29"/>
      <c r="G40" s="96"/>
      <c r="L40" s="7"/>
    </row>
    <row r="41">
      <c r="B41" s="95" t="s">
        <v>31</v>
      </c>
      <c r="C41" s="97">
        <f>C40*22%</f>
        <v>14.366</v>
      </c>
      <c r="D41" s="89"/>
      <c r="E41" s="29"/>
      <c r="F41" s="29"/>
      <c r="G41" s="96"/>
      <c r="L41" s="7"/>
    </row>
    <row r="42">
      <c r="B42" s="98" t="s">
        <v>78</v>
      </c>
      <c r="C42" s="99">
        <f>C40-C41</f>
        <v>50.934</v>
      </c>
      <c r="D42" s="95" t="s">
        <v>79</v>
      </c>
      <c r="E42" s="29"/>
      <c r="F42" s="29"/>
      <c r="G42" s="73"/>
      <c r="H42" s="66"/>
      <c r="I42" s="66"/>
      <c r="J42" s="66"/>
      <c r="K42" s="66"/>
      <c r="L42" s="67"/>
    </row>
    <row r="46">
      <c r="E46" s="100"/>
    </row>
  </sheetData>
  <mergeCells count="48">
    <mergeCell ref="K4:L4"/>
    <mergeCell ref="K5:L5"/>
    <mergeCell ref="K6:L6"/>
    <mergeCell ref="K7:L7"/>
    <mergeCell ref="J8:L8"/>
    <mergeCell ref="B3:E3"/>
    <mergeCell ref="G3:L3"/>
    <mergeCell ref="B4:E4"/>
    <mergeCell ref="H4:I4"/>
    <mergeCell ref="B5:C5"/>
    <mergeCell ref="D5:E5"/>
    <mergeCell ref="H5:I5"/>
    <mergeCell ref="B6:C6"/>
    <mergeCell ref="D6:E6"/>
    <mergeCell ref="H6:I6"/>
    <mergeCell ref="B7:C7"/>
    <mergeCell ref="D7:E7"/>
    <mergeCell ref="H7:I7"/>
    <mergeCell ref="G8:I8"/>
    <mergeCell ref="C18:C21"/>
    <mergeCell ref="D18:D21"/>
    <mergeCell ref="B23:D24"/>
    <mergeCell ref="B25:D25"/>
    <mergeCell ref="C26:D26"/>
    <mergeCell ref="C27:D27"/>
    <mergeCell ref="B28:D28"/>
    <mergeCell ref="G9:K9"/>
    <mergeCell ref="G10:K10"/>
    <mergeCell ref="G11:G13"/>
    <mergeCell ref="G14:K14"/>
    <mergeCell ref="G15:K15"/>
    <mergeCell ref="B18:B21"/>
    <mergeCell ref="E18:E21"/>
    <mergeCell ref="G35:K35"/>
    <mergeCell ref="G36:K36"/>
    <mergeCell ref="G37:K37"/>
    <mergeCell ref="G38:K38"/>
    <mergeCell ref="G39:L39"/>
    <mergeCell ref="G40:L40"/>
    <mergeCell ref="G41:L41"/>
    <mergeCell ref="G42:L42"/>
    <mergeCell ref="G16:G20"/>
    <mergeCell ref="G21:G22"/>
    <mergeCell ref="G23:G25"/>
    <mergeCell ref="G26:G27"/>
    <mergeCell ref="G30:G31"/>
    <mergeCell ref="G32:G33"/>
    <mergeCell ref="G34:K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0"/>
    <col customWidth="1" min="8" max="8" width="14.0"/>
  </cols>
  <sheetData>
    <row r="2">
      <c r="B2" s="1" t="s">
        <v>0</v>
      </c>
      <c r="C2" s="2"/>
      <c r="D2" s="2"/>
      <c r="E2" s="3"/>
      <c r="F2" s="4"/>
      <c r="G2" s="5" t="s">
        <v>1</v>
      </c>
    </row>
    <row r="3">
      <c r="B3" s="6"/>
      <c r="E3" s="7"/>
      <c r="F3" s="8"/>
      <c r="G3" s="9" t="s">
        <v>2</v>
      </c>
      <c r="H3" s="10">
        <v>46225.0</v>
      </c>
      <c r="I3" s="3"/>
      <c r="J3" s="11" t="s">
        <v>3</v>
      </c>
      <c r="K3" s="12" t="str">
        <f>C8</f>
        <v>Aman 88</v>
      </c>
      <c r="L3" s="3"/>
    </row>
    <row r="4">
      <c r="B4" s="13" t="s">
        <v>4</v>
      </c>
      <c r="D4" s="14" t="s">
        <v>5</v>
      </c>
      <c r="E4" s="7"/>
      <c r="F4" s="8"/>
      <c r="G4" s="9" t="s">
        <v>6</v>
      </c>
      <c r="H4" s="15"/>
      <c r="I4" s="3"/>
      <c r="J4" s="11" t="s">
        <v>7</v>
      </c>
      <c r="K4" s="12" t="str">
        <f>C25</f>
        <v>Samarinda</v>
      </c>
      <c r="L4" s="3"/>
    </row>
    <row r="5">
      <c r="B5" s="13" t="s">
        <v>8</v>
      </c>
      <c r="D5" s="14" t="s">
        <v>9</v>
      </c>
      <c r="E5" s="7"/>
      <c r="F5" s="8"/>
      <c r="G5" s="16" t="s">
        <v>10</v>
      </c>
      <c r="H5" s="17" t="s">
        <v>11</v>
      </c>
      <c r="I5" s="2"/>
      <c r="J5" s="11" t="s">
        <v>12</v>
      </c>
      <c r="K5" s="18" t="str">
        <f>C17</f>
        <v/>
      </c>
      <c r="L5" s="3"/>
    </row>
    <row r="6">
      <c r="B6" s="19" t="s">
        <v>13</v>
      </c>
      <c r="D6" s="14" t="s">
        <v>14</v>
      </c>
      <c r="E6" s="7"/>
      <c r="F6" s="8"/>
      <c r="G6" s="16" t="s">
        <v>15</v>
      </c>
      <c r="H6" s="21">
        <v>22450.0</v>
      </c>
      <c r="I6" s="2"/>
      <c r="J6" s="11" t="s">
        <v>16</v>
      </c>
      <c r="K6" s="22"/>
      <c r="L6" s="3"/>
    </row>
    <row r="7">
      <c r="B7" s="6"/>
      <c r="C7" s="8"/>
      <c r="D7" s="8"/>
      <c r="E7" s="27"/>
      <c r="F7" s="8"/>
      <c r="G7" s="24" t="s">
        <v>17</v>
      </c>
      <c r="H7" s="2"/>
      <c r="I7" s="2"/>
      <c r="J7" s="25">
        <f>sum(I10:I12)</f>
        <v>25900</v>
      </c>
      <c r="K7" s="2"/>
      <c r="L7" s="3"/>
    </row>
    <row r="8">
      <c r="B8" s="26" t="s">
        <v>18</v>
      </c>
      <c r="C8" s="28" t="s">
        <v>24</v>
      </c>
      <c r="D8" s="28" t="s">
        <v>25</v>
      </c>
      <c r="E8" s="28" t="s">
        <v>26</v>
      </c>
      <c r="F8" s="29"/>
      <c r="G8" s="30" t="s">
        <v>22</v>
      </c>
      <c r="H8" s="2"/>
      <c r="I8" s="2"/>
      <c r="J8" s="2"/>
      <c r="K8" s="3"/>
      <c r="L8" s="31">
        <f>L9*J10</f>
        <v>1295000000</v>
      </c>
    </row>
    <row r="9">
      <c r="B9" s="32" t="s">
        <v>23</v>
      </c>
      <c r="C9" s="34">
        <v>18000.0</v>
      </c>
      <c r="D9" s="34">
        <v>18500.0</v>
      </c>
      <c r="E9" s="33">
        <v>0.0</v>
      </c>
      <c r="F9" s="35"/>
      <c r="G9" s="30" t="s">
        <v>27</v>
      </c>
      <c r="H9" s="2"/>
      <c r="I9" s="2"/>
      <c r="J9" s="2"/>
      <c r="K9" s="3"/>
      <c r="L9" s="31">
        <f>SUM(I10:I12)</f>
        <v>25900</v>
      </c>
    </row>
    <row r="10">
      <c r="B10" s="32" t="s">
        <v>28</v>
      </c>
      <c r="C10" s="33">
        <f t="shared" ref="C10:E10" si="1">C9*11%</f>
        <v>1980</v>
      </c>
      <c r="D10" s="33">
        <f t="shared" si="1"/>
        <v>2035</v>
      </c>
      <c r="E10" s="33">
        <f t="shared" si="1"/>
        <v>0</v>
      </c>
      <c r="F10" s="35"/>
      <c r="G10" s="36" t="s">
        <v>29</v>
      </c>
      <c r="H10" s="37" t="s">
        <v>23</v>
      </c>
      <c r="I10" s="38">
        <f>25900/1.11</f>
        <v>23333.33333</v>
      </c>
      <c r="J10" s="39">
        <v>50000.0</v>
      </c>
      <c r="K10" s="38">
        <f t="shared" ref="K10:K12" si="2">I10*J10</f>
        <v>1166666667</v>
      </c>
      <c r="L10" s="40"/>
    </row>
    <row r="11">
      <c r="B11" s="32" t="s">
        <v>30</v>
      </c>
      <c r="C11" s="33">
        <v>0.0</v>
      </c>
      <c r="D11" s="34">
        <v>0.0</v>
      </c>
      <c r="E11" s="41">
        <v>0.0</v>
      </c>
      <c r="F11" s="42"/>
      <c r="G11" s="43"/>
      <c r="H11" s="37" t="s">
        <v>30</v>
      </c>
      <c r="I11" s="38">
        <f>I10*7.5%*0</f>
        <v>0</v>
      </c>
      <c r="J11" s="39">
        <f t="shared" ref="J11:J12" si="3">J10</f>
        <v>50000</v>
      </c>
      <c r="K11" s="38">
        <f t="shared" si="2"/>
        <v>0</v>
      </c>
      <c r="L11" s="40"/>
    </row>
    <row r="12">
      <c r="B12" s="32" t="s">
        <v>31</v>
      </c>
      <c r="C12" s="33">
        <v>0.0</v>
      </c>
      <c r="D12" s="51">
        <v>0.0</v>
      </c>
      <c r="E12" s="33">
        <v>0.0</v>
      </c>
      <c r="F12" s="35"/>
      <c r="G12" s="44"/>
      <c r="H12" s="37" t="s">
        <v>32</v>
      </c>
      <c r="I12" s="38">
        <f>I10*11%</f>
        <v>2566.666667</v>
      </c>
      <c r="J12" s="39">
        <f t="shared" si="3"/>
        <v>50000</v>
      </c>
      <c r="K12" s="38">
        <f t="shared" si="2"/>
        <v>128333333.3</v>
      </c>
      <c r="L12" s="40"/>
    </row>
    <row r="13">
      <c r="B13" s="32" t="s">
        <v>33</v>
      </c>
      <c r="C13" s="33">
        <v>0.0</v>
      </c>
      <c r="D13" s="34">
        <v>0.0</v>
      </c>
      <c r="E13" s="45"/>
      <c r="F13" s="35"/>
      <c r="G13" s="46" t="s">
        <v>34</v>
      </c>
      <c r="H13" s="2"/>
      <c r="I13" s="2"/>
      <c r="J13" s="2"/>
      <c r="K13" s="3"/>
      <c r="L13" s="47">
        <f>sum(K15:K32)</f>
        <v>1029000000</v>
      </c>
    </row>
    <row r="14">
      <c r="B14" s="32" t="s">
        <v>35</v>
      </c>
      <c r="C14" s="33">
        <f t="shared" ref="C14:D14" si="4">C13*11%</f>
        <v>0</v>
      </c>
      <c r="D14" s="41">
        <f t="shared" si="4"/>
        <v>0</v>
      </c>
      <c r="E14" s="45"/>
      <c r="F14" s="35"/>
      <c r="G14" s="46" t="s">
        <v>36</v>
      </c>
      <c r="H14" s="2"/>
      <c r="I14" s="2"/>
      <c r="J14" s="2"/>
      <c r="K14" s="3"/>
      <c r="L14" s="47">
        <f>sum(I15:I32)</f>
        <v>20580</v>
      </c>
    </row>
    <row r="15">
      <c r="B15" s="32" t="s">
        <v>37</v>
      </c>
      <c r="C15" s="48">
        <v>0.0</v>
      </c>
      <c r="D15" s="49"/>
      <c r="E15" s="45"/>
      <c r="F15" s="35"/>
      <c r="G15" s="50" t="s">
        <v>38</v>
      </c>
      <c r="H15" s="52" t="s">
        <v>23</v>
      </c>
      <c r="I15" s="53">
        <f>D29</f>
        <v>18000</v>
      </c>
      <c r="J15" s="54">
        <f>J10</f>
        <v>50000</v>
      </c>
      <c r="K15" s="53">
        <f t="shared" ref="K15:K32" si="5">I15*J15</f>
        <v>900000000</v>
      </c>
      <c r="L15" s="55"/>
    </row>
    <row r="16">
      <c r="B16" s="49"/>
      <c r="C16" s="56">
        <f>sum(C9:C15)</f>
        <v>19980</v>
      </c>
      <c r="D16" s="56">
        <f>sum(D9:D14)</f>
        <v>20535</v>
      </c>
      <c r="E16" s="56">
        <f>SUM(E9:E15)</f>
        <v>0</v>
      </c>
      <c r="F16" s="35"/>
      <c r="G16" s="43"/>
      <c r="H16" s="52" t="s">
        <v>33</v>
      </c>
      <c r="I16" s="53">
        <f t="shared" ref="I16:I17" si="6">I14*7.5%*0</f>
        <v>0</v>
      </c>
      <c r="J16" s="54">
        <f t="shared" ref="J16:J32" si="7">J15</f>
        <v>50000</v>
      </c>
      <c r="K16" s="53">
        <f t="shared" si="5"/>
        <v>0</v>
      </c>
      <c r="L16" s="55"/>
    </row>
    <row r="17">
      <c r="B17" s="57" t="s">
        <v>39</v>
      </c>
      <c r="C17" s="58"/>
      <c r="D17" s="58"/>
      <c r="E17" s="58"/>
      <c r="F17" s="59"/>
      <c r="G17" s="43"/>
      <c r="H17" s="52" t="s">
        <v>30</v>
      </c>
      <c r="I17" s="53">
        <f t="shared" si="6"/>
        <v>0</v>
      </c>
      <c r="J17" s="54">
        <f t="shared" si="7"/>
        <v>50000</v>
      </c>
      <c r="K17" s="53">
        <f t="shared" si="5"/>
        <v>0</v>
      </c>
      <c r="L17" s="55"/>
    </row>
    <row r="18">
      <c r="B18" s="43"/>
      <c r="C18" s="43"/>
      <c r="D18" s="43"/>
      <c r="E18" s="43"/>
      <c r="F18" s="59"/>
      <c r="G18" s="43"/>
      <c r="H18" s="52" t="s">
        <v>40</v>
      </c>
      <c r="I18" s="53">
        <v>0.0</v>
      </c>
      <c r="J18" s="54">
        <f t="shared" si="7"/>
        <v>50000</v>
      </c>
      <c r="K18" s="53">
        <f t="shared" si="5"/>
        <v>0</v>
      </c>
      <c r="L18" s="55"/>
    </row>
    <row r="19">
      <c r="B19" s="43"/>
      <c r="C19" s="43"/>
      <c r="D19" s="43"/>
      <c r="E19" s="43"/>
      <c r="F19" s="59"/>
      <c r="G19" s="43"/>
      <c r="H19" s="52" t="s">
        <v>41</v>
      </c>
      <c r="I19" s="53">
        <v>0.0</v>
      </c>
      <c r="J19" s="54">
        <f t="shared" si="7"/>
        <v>50000</v>
      </c>
      <c r="K19" s="53">
        <f t="shared" si="5"/>
        <v>0</v>
      </c>
      <c r="L19" s="55"/>
    </row>
    <row r="20">
      <c r="B20" s="44"/>
      <c r="C20" s="44"/>
      <c r="D20" s="44"/>
      <c r="E20" s="44"/>
      <c r="F20" s="59"/>
      <c r="G20" s="60" t="s">
        <v>42</v>
      </c>
      <c r="H20" s="55" t="s">
        <v>32</v>
      </c>
      <c r="I20" s="61">
        <f>I15*11%</f>
        <v>1980</v>
      </c>
      <c r="J20" s="54">
        <f t="shared" si="7"/>
        <v>50000</v>
      </c>
      <c r="K20" s="61">
        <f t="shared" si="5"/>
        <v>99000000</v>
      </c>
      <c r="L20" s="55"/>
    </row>
    <row r="21">
      <c r="B21" s="29"/>
      <c r="C21" s="29"/>
      <c r="D21" s="29"/>
      <c r="E21" s="29"/>
      <c r="F21" s="29"/>
      <c r="G21" s="43"/>
      <c r="H21" s="55" t="s">
        <v>43</v>
      </c>
      <c r="I21" s="61">
        <v>0.0</v>
      </c>
      <c r="J21" s="54">
        <f t="shared" si="7"/>
        <v>50000</v>
      </c>
      <c r="K21" s="61">
        <f t="shared" si="5"/>
        <v>0</v>
      </c>
      <c r="L21" s="55"/>
    </row>
    <row r="22">
      <c r="B22" s="62" t="s">
        <v>44</v>
      </c>
      <c r="C22" s="63"/>
      <c r="D22" s="64"/>
      <c r="E22" s="29"/>
      <c r="F22" s="29"/>
      <c r="G22" s="60" t="s">
        <v>45</v>
      </c>
      <c r="H22" s="52" t="s">
        <v>46</v>
      </c>
      <c r="I22" s="53">
        <v>0.0</v>
      </c>
      <c r="J22" s="54">
        <f t="shared" si="7"/>
        <v>50000</v>
      </c>
      <c r="K22" s="53">
        <f t="shared" si="5"/>
        <v>0</v>
      </c>
      <c r="L22" s="55"/>
    </row>
    <row r="23">
      <c r="B23" s="65"/>
      <c r="C23" s="66"/>
      <c r="D23" s="67"/>
      <c r="E23" s="29"/>
      <c r="F23" s="29"/>
      <c r="G23" s="43"/>
      <c r="H23" s="52" t="s">
        <v>47</v>
      </c>
      <c r="I23" s="53">
        <v>0.0</v>
      </c>
      <c r="J23" s="54">
        <f t="shared" si="7"/>
        <v>50000</v>
      </c>
      <c r="K23" s="53">
        <f t="shared" si="5"/>
        <v>0</v>
      </c>
      <c r="L23" s="55"/>
    </row>
    <row r="24">
      <c r="B24" s="68" t="s">
        <v>48</v>
      </c>
      <c r="D24" s="7"/>
      <c r="E24" s="29"/>
      <c r="F24" s="29"/>
      <c r="G24" s="44"/>
      <c r="H24" s="55" t="s">
        <v>49</v>
      </c>
      <c r="I24" s="61">
        <v>0.0</v>
      </c>
      <c r="J24" s="54">
        <f t="shared" si="7"/>
        <v>50000</v>
      </c>
      <c r="K24" s="61">
        <f t="shared" si="5"/>
        <v>0</v>
      </c>
      <c r="L24" s="55"/>
    </row>
    <row r="25">
      <c r="B25" s="69" t="s">
        <v>50</v>
      </c>
      <c r="C25" s="70" t="s">
        <v>14</v>
      </c>
      <c r="D25" s="7"/>
      <c r="E25" s="29"/>
      <c r="F25" s="29"/>
      <c r="G25" s="60" t="s">
        <v>51</v>
      </c>
      <c r="H25" s="52" t="s">
        <v>52</v>
      </c>
      <c r="I25" s="53">
        <v>0.0</v>
      </c>
      <c r="J25" s="54">
        <f t="shared" si="7"/>
        <v>50000</v>
      </c>
      <c r="K25" s="53">
        <f t="shared" si="5"/>
        <v>0</v>
      </c>
      <c r="L25" s="55"/>
    </row>
    <row r="26">
      <c r="B26" s="69" t="s">
        <v>53</v>
      </c>
      <c r="C26" s="71" t="str">
        <f>D8</f>
        <v>Katana</v>
      </c>
      <c r="D26" s="7"/>
      <c r="E26" s="29"/>
      <c r="F26" s="29"/>
      <c r="G26" s="44"/>
      <c r="H26" s="55" t="s">
        <v>54</v>
      </c>
      <c r="I26" s="72">
        <v>50.0</v>
      </c>
      <c r="J26" s="54">
        <f t="shared" si="7"/>
        <v>50000</v>
      </c>
      <c r="K26" s="61">
        <f t="shared" si="5"/>
        <v>2500000</v>
      </c>
      <c r="L26" s="55"/>
    </row>
    <row r="27">
      <c r="B27" s="73"/>
      <c r="C27" s="66"/>
      <c r="D27" s="67"/>
      <c r="E27" s="29"/>
      <c r="F27" s="29"/>
      <c r="G27" s="74" t="s">
        <v>55</v>
      </c>
      <c r="H27" s="55" t="s">
        <v>56</v>
      </c>
      <c r="I27" s="61">
        <v>0.0</v>
      </c>
      <c r="J27" s="54">
        <f t="shared" si="7"/>
        <v>50000</v>
      </c>
      <c r="K27" s="61">
        <f t="shared" si="5"/>
        <v>0</v>
      </c>
      <c r="L27" s="55"/>
    </row>
    <row r="28">
      <c r="B28" s="75" t="s">
        <v>18</v>
      </c>
      <c r="C28" s="75" t="s">
        <v>57</v>
      </c>
      <c r="D28" s="76" t="s">
        <v>58</v>
      </c>
      <c r="E28" s="29"/>
      <c r="F28" s="29"/>
      <c r="G28" s="74" t="s">
        <v>59</v>
      </c>
      <c r="H28" s="55" t="s">
        <v>60</v>
      </c>
      <c r="I28" s="61">
        <v>0.0</v>
      </c>
      <c r="J28" s="54">
        <f t="shared" si="7"/>
        <v>50000</v>
      </c>
      <c r="K28" s="61">
        <f t="shared" si="5"/>
        <v>0</v>
      </c>
      <c r="L28" s="55"/>
    </row>
    <row r="29">
      <c r="B29" s="77" t="s">
        <v>23</v>
      </c>
      <c r="C29" s="78">
        <f>18000</f>
        <v>18000</v>
      </c>
      <c r="D29" s="79">
        <f>C29</f>
        <v>18000</v>
      </c>
      <c r="E29" s="29"/>
      <c r="F29" s="29"/>
      <c r="G29" s="80" t="s">
        <v>61</v>
      </c>
      <c r="H29" s="55" t="s">
        <v>62</v>
      </c>
      <c r="I29" s="81">
        <v>200.0</v>
      </c>
      <c r="J29" s="54">
        <f t="shared" si="7"/>
        <v>50000</v>
      </c>
      <c r="K29" s="61">
        <f t="shared" si="5"/>
        <v>10000000</v>
      </c>
      <c r="L29" s="55"/>
    </row>
    <row r="30">
      <c r="B30" s="77" t="s">
        <v>28</v>
      </c>
      <c r="C30" s="78">
        <f t="shared" ref="C30:D30" si="8">C29*11%</f>
        <v>1980</v>
      </c>
      <c r="D30" s="82">
        <f t="shared" si="8"/>
        <v>1980</v>
      </c>
      <c r="E30" s="35"/>
      <c r="F30" s="35"/>
      <c r="G30" s="44"/>
      <c r="H30" s="55" t="s">
        <v>63</v>
      </c>
      <c r="I30" s="81">
        <v>250.0</v>
      </c>
      <c r="J30" s="54">
        <f t="shared" si="7"/>
        <v>50000</v>
      </c>
      <c r="K30" s="61">
        <f t="shared" si="5"/>
        <v>12500000</v>
      </c>
      <c r="L30" s="55"/>
    </row>
    <row r="31">
      <c r="B31" s="77" t="s">
        <v>30</v>
      </c>
      <c r="C31" s="79">
        <v>0.0</v>
      </c>
      <c r="D31" s="83"/>
      <c r="E31" s="35"/>
      <c r="F31" s="35"/>
      <c r="G31" s="80" t="s">
        <v>64</v>
      </c>
      <c r="H31" s="84" t="s">
        <v>66</v>
      </c>
      <c r="I31" s="81">
        <v>100.0</v>
      </c>
      <c r="J31" s="54">
        <f t="shared" si="7"/>
        <v>50000</v>
      </c>
      <c r="K31" s="61">
        <f t="shared" si="5"/>
        <v>5000000</v>
      </c>
      <c r="L31" s="55"/>
    </row>
    <row r="32">
      <c r="B32" s="77" t="s">
        <v>31</v>
      </c>
      <c r="C32" s="79">
        <v>0.0</v>
      </c>
      <c r="D32" s="83"/>
      <c r="E32" s="35"/>
      <c r="F32" s="35"/>
      <c r="G32" s="43"/>
      <c r="H32" s="55" t="s">
        <v>67</v>
      </c>
      <c r="I32" s="61">
        <v>0.0</v>
      </c>
      <c r="J32" s="54">
        <f t="shared" si="7"/>
        <v>50000</v>
      </c>
      <c r="K32" s="61">
        <f t="shared" si="5"/>
        <v>0</v>
      </c>
      <c r="L32" s="55"/>
    </row>
    <row r="33">
      <c r="B33" s="77" t="s">
        <v>33</v>
      </c>
      <c r="C33" s="79">
        <v>0.0</v>
      </c>
      <c r="D33" s="83"/>
      <c r="E33" s="35"/>
      <c r="F33" s="35"/>
      <c r="G33" s="85" t="s">
        <v>68</v>
      </c>
      <c r="H33" s="2"/>
      <c r="I33" s="2"/>
      <c r="J33" s="2"/>
      <c r="K33" s="3"/>
      <c r="L33" s="86">
        <f>L8-L13</f>
        <v>266000000</v>
      </c>
    </row>
    <row r="34">
      <c r="B34" s="77" t="s">
        <v>28</v>
      </c>
      <c r="C34" s="79">
        <v>0.0</v>
      </c>
      <c r="D34" s="83"/>
      <c r="E34" s="35"/>
      <c r="F34" s="35"/>
      <c r="G34" s="85" t="s">
        <v>69</v>
      </c>
      <c r="H34" s="2"/>
      <c r="I34" s="2"/>
      <c r="J34" s="2"/>
      <c r="K34" s="3"/>
      <c r="L34" s="86">
        <f>K12-K20</f>
        <v>29333333.33</v>
      </c>
    </row>
    <row r="35">
      <c r="B35" s="75" t="s">
        <v>70</v>
      </c>
      <c r="C35" s="87">
        <f t="shared" ref="C35:D35" si="9">SUM(C29:C34)</f>
        <v>19980</v>
      </c>
      <c r="D35" s="88">
        <f t="shared" si="9"/>
        <v>19980</v>
      </c>
      <c r="E35" s="35"/>
      <c r="F35" s="35"/>
      <c r="G35" s="85" t="s">
        <v>71</v>
      </c>
      <c r="H35" s="2"/>
      <c r="I35" s="2"/>
      <c r="J35" s="2"/>
      <c r="K35" s="3"/>
      <c r="L35" s="86">
        <f>L33-L34</f>
        <v>236666666.7</v>
      </c>
    </row>
    <row r="36">
      <c r="B36" s="89"/>
      <c r="C36" s="83"/>
      <c r="D36" s="89"/>
      <c r="E36" s="35"/>
      <c r="F36" s="35"/>
      <c r="G36" s="85" t="s">
        <v>72</v>
      </c>
      <c r="H36" s="2"/>
      <c r="I36" s="2"/>
      <c r="J36" s="2"/>
      <c r="K36" s="3"/>
      <c r="L36" s="86">
        <f>L35/J10</f>
        <v>4733.333333</v>
      </c>
    </row>
    <row r="37">
      <c r="B37" s="90" t="s">
        <v>73</v>
      </c>
      <c r="C37" s="82">
        <f>D29-C29-C31-C32-C33</f>
        <v>0</v>
      </c>
      <c r="D37" s="89"/>
      <c r="E37" s="29"/>
      <c r="F37" s="29"/>
      <c r="G37" s="91" t="s">
        <v>74</v>
      </c>
      <c r="H37" s="63"/>
      <c r="I37" s="63"/>
      <c r="J37" s="63"/>
      <c r="K37" s="64"/>
      <c r="L37" s="92">
        <f>L35/L13</f>
        <v>0.2299967606</v>
      </c>
    </row>
    <row r="38">
      <c r="B38" s="90" t="s">
        <v>75</v>
      </c>
      <c r="C38" s="93">
        <v>0.0</v>
      </c>
      <c r="D38" s="83"/>
      <c r="E38" s="29"/>
      <c r="F38" s="29"/>
      <c r="G38" s="94" t="s">
        <v>76</v>
      </c>
      <c r="H38" s="63"/>
      <c r="I38" s="63"/>
      <c r="J38" s="63"/>
      <c r="K38" s="63"/>
      <c r="L38" s="64"/>
    </row>
    <row r="39">
      <c r="B39" s="95" t="s">
        <v>77</v>
      </c>
      <c r="C39" s="82">
        <f>C37-C38</f>
        <v>0</v>
      </c>
      <c r="D39" s="89"/>
      <c r="E39" s="29"/>
      <c r="F39" s="29"/>
      <c r="G39" s="96"/>
      <c r="L39" s="7"/>
    </row>
    <row r="40">
      <c r="B40" s="95" t="s">
        <v>31</v>
      </c>
      <c r="C40" s="97">
        <f>C39*22%</f>
        <v>0</v>
      </c>
      <c r="D40" s="89"/>
      <c r="E40" s="29"/>
      <c r="F40" s="29"/>
      <c r="G40" s="96"/>
      <c r="L40" s="7"/>
    </row>
    <row r="41">
      <c r="B41" s="98" t="s">
        <v>78</v>
      </c>
      <c r="C41" s="99">
        <f>C39-C40</f>
        <v>0</v>
      </c>
      <c r="D41" s="95" t="s">
        <v>79</v>
      </c>
      <c r="E41" s="29"/>
      <c r="F41" s="29"/>
      <c r="G41" s="73"/>
      <c r="H41" s="66"/>
      <c r="I41" s="66"/>
      <c r="J41" s="66"/>
      <c r="K41" s="66"/>
      <c r="L41" s="67"/>
    </row>
  </sheetData>
  <mergeCells count="48">
    <mergeCell ref="K3:L3"/>
    <mergeCell ref="K4:L4"/>
    <mergeCell ref="K5:L5"/>
    <mergeCell ref="K6:L6"/>
    <mergeCell ref="J7:L7"/>
    <mergeCell ref="B2:E2"/>
    <mergeCell ref="G2:L2"/>
    <mergeCell ref="B3:E3"/>
    <mergeCell ref="H3:I3"/>
    <mergeCell ref="B4:C4"/>
    <mergeCell ref="D4:E4"/>
    <mergeCell ref="H4:I4"/>
    <mergeCell ref="B5:C5"/>
    <mergeCell ref="D5:E5"/>
    <mergeCell ref="H5:I5"/>
    <mergeCell ref="B6:C6"/>
    <mergeCell ref="D6:E6"/>
    <mergeCell ref="H6:I6"/>
    <mergeCell ref="G7:I7"/>
    <mergeCell ref="C17:C20"/>
    <mergeCell ref="D17:D20"/>
    <mergeCell ref="B22:D23"/>
    <mergeCell ref="B24:D24"/>
    <mergeCell ref="C25:D25"/>
    <mergeCell ref="C26:D26"/>
    <mergeCell ref="B27:D27"/>
    <mergeCell ref="G8:K8"/>
    <mergeCell ref="G9:K9"/>
    <mergeCell ref="G10:G12"/>
    <mergeCell ref="G13:K13"/>
    <mergeCell ref="G14:K14"/>
    <mergeCell ref="B17:B20"/>
    <mergeCell ref="E17:E20"/>
    <mergeCell ref="G34:K34"/>
    <mergeCell ref="G35:K35"/>
    <mergeCell ref="G36:K36"/>
    <mergeCell ref="G37:K37"/>
    <mergeCell ref="G38:L38"/>
    <mergeCell ref="G39:L39"/>
    <mergeCell ref="G40:L40"/>
    <mergeCell ref="G41:L41"/>
    <mergeCell ref="G15:G19"/>
    <mergeCell ref="G20:G21"/>
    <mergeCell ref="G22:G24"/>
    <mergeCell ref="G25:G26"/>
    <mergeCell ref="G29:G30"/>
    <mergeCell ref="G31:G32"/>
    <mergeCell ref="G33:K33"/>
  </mergeCells>
  <drawing r:id="rId1"/>
</worksheet>
</file>